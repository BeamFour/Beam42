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lan\git\Beam43\Examples\jfotoptix\leica-m-summilux-50mm-f1.4-asph\measurements\"/>
    </mc:Choice>
  </mc:AlternateContent>
  <xr:revisionPtr revIDLastSave="0" documentId="13_ncr:1_{F6C077DC-C01F-40A1-B8B3-694EBAEF33DB}" xr6:coauthVersionLast="47" xr6:coauthVersionMax="47" xr10:uidLastSave="{00000000-0000-0000-0000-000000000000}"/>
  <bookViews>
    <workbookView xWindow="-110" yWindow="-110" windowWidth="38620" windowHeight="21100" activeTab="1" xr2:uid="{ABF24105-874C-47CD-8B9D-7C91993D25C2}"/>
  </bookViews>
  <sheets>
    <sheet name="Patent" sheetId="5" r:id="rId1"/>
    <sheet name="Web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6" l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K10" i="6" s="1"/>
  <c r="C10" i="6"/>
  <c r="G9" i="6"/>
  <c r="E9" i="6"/>
  <c r="C9" i="6"/>
  <c r="G8" i="6"/>
  <c r="E8" i="6"/>
  <c r="C8" i="6"/>
  <c r="K8" i="6" s="1"/>
  <c r="G7" i="6"/>
  <c r="E7" i="6"/>
  <c r="C7" i="6"/>
  <c r="K6" i="6"/>
  <c r="G6" i="6"/>
  <c r="E6" i="6"/>
  <c r="C6" i="6"/>
  <c r="G5" i="6"/>
  <c r="E5" i="6"/>
  <c r="C5" i="6"/>
  <c r="G4" i="6"/>
  <c r="E4" i="6"/>
  <c r="C4" i="6"/>
  <c r="G3" i="6"/>
  <c r="E3" i="6"/>
  <c r="C3" i="6"/>
  <c r="G2" i="6"/>
  <c r="E2" i="6"/>
  <c r="C2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2" i="5"/>
  <c r="I22" i="5"/>
  <c r="H22" i="5"/>
  <c r="K15" i="6" l="1"/>
  <c r="K14" i="6"/>
  <c r="K13" i="6"/>
  <c r="K12" i="6"/>
  <c r="K11" i="6"/>
  <c r="K9" i="6"/>
  <c r="K7" i="6"/>
  <c r="K5" i="6"/>
  <c r="K4" i="6"/>
  <c r="K3" i="6"/>
  <c r="K2" i="6"/>
</calcChain>
</file>

<file path=xl/sharedStrings.xml><?xml version="1.0" encoding="utf-8"?>
<sst xmlns="http://schemas.openxmlformats.org/spreadsheetml/2006/main" count="46" uniqueCount="15">
  <si>
    <t>surface</t>
  </si>
  <si>
    <t>chord</t>
  </si>
  <si>
    <t>height</t>
  </si>
  <si>
    <t>width</t>
  </si>
  <si>
    <t>stop</t>
  </si>
  <si>
    <t>+</t>
  </si>
  <si>
    <t>-</t>
  </si>
  <si>
    <t>image</t>
  </si>
  <si>
    <t xml:space="preserve">img ht </t>
  </si>
  <si>
    <t>Measurements in pixels taken from patent fig 2</t>
  </si>
  <si>
    <t>The image height is used as reference as we know it should be 21.6</t>
  </si>
  <si>
    <t>Measurements were taken in pixels off the image on Leica webpage for the lens,</t>
  </si>
  <si>
    <t>The image was resized so that first element had same height as the patent image</t>
  </si>
  <si>
    <t>Pixels converted to mm based on the known height of first element, see Patent sheet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</si>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</sst>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0758-9F0E-46B3-B94F-BC58AA642716}">
  <dimension ref="A1:K27"/>
  <sheetViews>
    <sheetView workbookViewId="0">
      <selection activeCell="I24" sqref="I24"/>
    </sheetView>
  </sheetViews>
  <sheetFormatPr defaultRowHeight="14"/>
  <sheetData>
    <row r="1" spans="1:11">
      <c r="A1" t="s">
        <v>0</v>
      </c>
      <c r="B1" t="s">
        <v>1</v>
      </c>
      <c r="D1" t="s">
        <v>2</v>
      </c>
      <c r="F1" t="s">
        <v>3</v>
      </c>
      <c r="K1" t="s">
        <v>14</v>
      </c>
    </row>
    <row r="2" spans="1:11">
      <c r="A2">
        <v>1</v>
      </c>
      <c r="B2">
        <v>497</v>
      </c>
      <c r="C2">
        <f>B2/13.10185</f>
        <v>37.933574266229577</v>
      </c>
      <c r="D2">
        <v>62</v>
      </c>
      <c r="E2">
        <f>D2/13.10185</f>
        <v>4.7321561458877941</v>
      </c>
      <c r="F2">
        <v>75</v>
      </c>
      <c r="G2">
        <f>F2/13.10185</f>
        <v>5.7243824345416865</v>
      </c>
      <c r="I2" t="s">
        <v>5</v>
      </c>
      <c r="K2">
        <f>((C2*C2)/(8*E2))+(E2/2)</f>
        <v>40.376131319548946</v>
      </c>
    </row>
    <row r="3" spans="1:11">
      <c r="A3">
        <v>2</v>
      </c>
      <c r="B3">
        <v>465</v>
      </c>
      <c r="C3">
        <f t="shared" ref="C3:C15" si="0">B3/13.10185</f>
        <v>35.49117109415846</v>
      </c>
      <c r="D3">
        <v>23</v>
      </c>
      <c r="E3">
        <f t="shared" ref="E3:E15" si="1">D3/13.10185</f>
        <v>1.7554772799261171</v>
      </c>
      <c r="F3">
        <v>0</v>
      </c>
      <c r="G3">
        <f t="shared" ref="G3:G15" si="2">F3/13.10185</f>
        <v>0</v>
      </c>
      <c r="I3" t="s">
        <v>5</v>
      </c>
      <c r="K3">
        <f t="shared" ref="K3:K15" si="3">((C3*C3)/(8*E3))+(E3/2)</f>
        <v>90.570100372483083</v>
      </c>
    </row>
    <row r="4" spans="1:11">
      <c r="A4">
        <v>3</v>
      </c>
      <c r="B4">
        <v>433</v>
      </c>
      <c r="C4">
        <f t="shared" si="0"/>
        <v>33.048767922087336</v>
      </c>
      <c r="D4">
        <v>76</v>
      </c>
      <c r="E4">
        <f t="shared" si="1"/>
        <v>5.8007075336689091</v>
      </c>
      <c r="F4">
        <v>114</v>
      </c>
      <c r="G4">
        <f t="shared" si="2"/>
        <v>8.7010613005033637</v>
      </c>
      <c r="I4" t="s">
        <v>5</v>
      </c>
      <c r="K4">
        <f t="shared" si="3"/>
        <v>26.43672960608415</v>
      </c>
    </row>
    <row r="5" spans="1:11">
      <c r="A5">
        <v>4</v>
      </c>
      <c r="B5">
        <v>409</v>
      </c>
      <c r="C5">
        <f t="shared" si="0"/>
        <v>31.216965543033997</v>
      </c>
      <c r="D5">
        <v>3</v>
      </c>
      <c r="E5">
        <f t="shared" si="1"/>
        <v>0.22897529738166747</v>
      </c>
      <c r="F5">
        <v>36</v>
      </c>
      <c r="G5">
        <f t="shared" si="2"/>
        <v>2.7477035685800097</v>
      </c>
      <c r="I5" t="s">
        <v>6</v>
      </c>
      <c r="K5">
        <f t="shared" si="3"/>
        <v>532.10360877789515</v>
      </c>
    </row>
    <row r="6" spans="1:11">
      <c r="A6">
        <v>5</v>
      </c>
      <c r="B6">
        <v>346</v>
      </c>
      <c r="C6">
        <f t="shared" si="0"/>
        <v>26.40848429801898</v>
      </c>
      <c r="D6">
        <v>55</v>
      </c>
      <c r="E6">
        <f t="shared" si="1"/>
        <v>4.1978804519972366</v>
      </c>
      <c r="F6">
        <v>77</v>
      </c>
      <c r="G6">
        <f t="shared" si="2"/>
        <v>5.8770326327961318</v>
      </c>
      <c r="I6" t="s">
        <v>6</v>
      </c>
      <c r="K6">
        <f t="shared" si="3"/>
        <v>22.865611969440813</v>
      </c>
    </row>
    <row r="7" spans="1:11">
      <c r="A7">
        <v>6</v>
      </c>
      <c r="B7">
        <v>338</v>
      </c>
      <c r="C7">
        <f t="shared" si="0"/>
        <v>25.797883505001202</v>
      </c>
      <c r="D7">
        <v>0</v>
      </c>
      <c r="E7">
        <f t="shared" si="1"/>
        <v>0</v>
      </c>
      <c r="F7">
        <v>27</v>
      </c>
      <c r="G7">
        <f t="shared" si="2"/>
        <v>2.060777676435007</v>
      </c>
      <c r="H7" t="s">
        <v>4</v>
      </c>
      <c r="I7">
        <v>0</v>
      </c>
      <c r="K7" t="e">
        <f t="shared" si="3"/>
        <v>#DIV/0!</v>
      </c>
    </row>
    <row r="8" spans="1:11">
      <c r="A8">
        <v>7</v>
      </c>
      <c r="B8">
        <v>337</v>
      </c>
      <c r="C8">
        <f t="shared" si="0"/>
        <v>25.721558405873978</v>
      </c>
      <c r="D8">
        <v>16</v>
      </c>
      <c r="E8">
        <f t="shared" si="1"/>
        <v>1.2212015860355598</v>
      </c>
      <c r="F8">
        <v>33</v>
      </c>
      <c r="G8">
        <f t="shared" si="2"/>
        <v>2.5187282711983423</v>
      </c>
      <c r="I8" t="s">
        <v>6</v>
      </c>
      <c r="K8">
        <f t="shared" si="3"/>
        <v>68.330641283482862</v>
      </c>
    </row>
    <row r="9" spans="1:11">
      <c r="A9">
        <v>8</v>
      </c>
      <c r="B9">
        <v>337</v>
      </c>
      <c r="C9">
        <f t="shared" si="0"/>
        <v>25.721558405873978</v>
      </c>
      <c r="D9">
        <v>7</v>
      </c>
      <c r="E9">
        <f t="shared" si="1"/>
        <v>0.5342756938905574</v>
      </c>
      <c r="F9">
        <v>40</v>
      </c>
      <c r="G9">
        <f t="shared" si="2"/>
        <v>3.0530039650888994</v>
      </c>
      <c r="I9" t="s">
        <v>6</v>
      </c>
      <c r="K9">
        <f t="shared" si="3"/>
        <v>155.05580182515118</v>
      </c>
    </row>
    <row r="10" spans="1:11">
      <c r="A10">
        <v>9</v>
      </c>
      <c r="B10">
        <v>337</v>
      </c>
      <c r="C10">
        <f t="shared" si="0"/>
        <v>25.721558405873978</v>
      </c>
      <c r="D10">
        <v>22</v>
      </c>
      <c r="E10">
        <f t="shared" si="1"/>
        <v>1.6791521807988947</v>
      </c>
      <c r="F10">
        <v>43</v>
      </c>
      <c r="G10">
        <f t="shared" si="2"/>
        <v>3.2819792624705668</v>
      </c>
      <c r="I10" t="s">
        <v>6</v>
      </c>
      <c r="K10">
        <f t="shared" si="3"/>
        <v>50.090514628919507</v>
      </c>
    </row>
    <row r="11" spans="1:11">
      <c r="A11">
        <v>10</v>
      </c>
      <c r="B11">
        <v>362</v>
      </c>
      <c r="C11">
        <f t="shared" si="0"/>
        <v>27.629685884054542</v>
      </c>
      <c r="D11">
        <v>18</v>
      </c>
      <c r="E11">
        <f t="shared" si="1"/>
        <v>1.3738517842900049</v>
      </c>
      <c r="F11">
        <v>90</v>
      </c>
      <c r="G11">
        <f t="shared" si="2"/>
        <v>6.8692589214500241</v>
      </c>
      <c r="I11" t="s">
        <v>5</v>
      </c>
      <c r="K11">
        <f t="shared" si="3"/>
        <v>70.144886239559881</v>
      </c>
    </row>
    <row r="12" spans="1:11">
      <c r="A12">
        <v>11</v>
      </c>
      <c r="B12">
        <v>362</v>
      </c>
      <c r="C12">
        <f t="shared" si="0"/>
        <v>27.629685884054542</v>
      </c>
      <c r="D12">
        <v>39</v>
      </c>
      <c r="E12">
        <f t="shared" si="1"/>
        <v>2.9766788659616772</v>
      </c>
      <c r="F12">
        <v>7</v>
      </c>
      <c r="G12">
        <f t="shared" si="2"/>
        <v>0.5342756938905574</v>
      </c>
      <c r="I12" t="s">
        <v>6</v>
      </c>
      <c r="K12">
        <f t="shared" si="3"/>
        <v>33.545859593326171</v>
      </c>
    </row>
    <row r="13" spans="1:11">
      <c r="A13">
        <v>12</v>
      </c>
      <c r="B13">
        <v>337</v>
      </c>
      <c r="C13">
        <f t="shared" si="0"/>
        <v>25.721558405873978</v>
      </c>
      <c r="D13">
        <v>23</v>
      </c>
      <c r="E13">
        <f t="shared" si="1"/>
        <v>1.7554772799261171</v>
      </c>
      <c r="F13">
        <v>88</v>
      </c>
      <c r="G13">
        <f t="shared" si="2"/>
        <v>6.7166087231955789</v>
      </c>
      <c r="I13" t="s">
        <v>5</v>
      </c>
      <c r="K13">
        <f t="shared" si="3"/>
        <v>47.987332024634419</v>
      </c>
    </row>
    <row r="14" spans="1:11">
      <c r="A14">
        <v>13</v>
      </c>
      <c r="B14">
        <v>337</v>
      </c>
      <c r="C14">
        <f t="shared" si="0"/>
        <v>25.721558405873978</v>
      </c>
      <c r="D14">
        <v>26</v>
      </c>
      <c r="E14">
        <f t="shared" si="1"/>
        <v>1.9844525773077846</v>
      </c>
      <c r="F14">
        <v>66</v>
      </c>
      <c r="G14">
        <f t="shared" si="2"/>
        <v>5.0374565423966846</v>
      </c>
      <c r="I14" t="s">
        <v>6</v>
      </c>
      <c r="K14">
        <f t="shared" si="3"/>
        <v>42.666097359709326</v>
      </c>
    </row>
    <row r="15" spans="1:11">
      <c r="A15">
        <v>14</v>
      </c>
      <c r="B15">
        <v>341</v>
      </c>
      <c r="C15">
        <f t="shared" si="0"/>
        <v>26.026858802382868</v>
      </c>
      <c r="D15">
        <v>38</v>
      </c>
      <c r="E15">
        <f t="shared" si="1"/>
        <v>2.9003537668344546</v>
      </c>
      <c r="F15">
        <v>344</v>
      </c>
      <c r="G15">
        <f t="shared" si="2"/>
        <v>26.255834099764535</v>
      </c>
      <c r="I15" t="s">
        <v>5</v>
      </c>
      <c r="K15">
        <f t="shared" si="3"/>
        <v>30.644778368984856</v>
      </c>
    </row>
    <row r="16" spans="1:11">
      <c r="J16" t="s">
        <v>7</v>
      </c>
    </row>
    <row r="22" spans="1:9">
      <c r="F22" t="s">
        <v>8</v>
      </c>
      <c r="G22">
        <v>283</v>
      </c>
      <c r="H22">
        <f>43.2/2</f>
        <v>21.6</v>
      </c>
      <c r="I22">
        <f>G22/H22</f>
        <v>13.101851851851851</v>
      </c>
    </row>
    <row r="26" spans="1:9">
      <c r="A26" t="s">
        <v>9</v>
      </c>
    </row>
    <row r="27" spans="1:9">
      <c r="A2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42B3-B9EA-4CF7-9E7B-D4B86FD3E469}">
  <dimension ref="A1:K22"/>
  <sheetViews>
    <sheetView tabSelected="1" workbookViewId="0">
      <selection activeCell="K2" sqref="K2"/>
    </sheetView>
  </sheetViews>
  <sheetFormatPr defaultRowHeight="14"/>
  <sheetData>
    <row r="1" spans="1:11">
      <c r="A1" t="s">
        <v>0</v>
      </c>
      <c r="B1" t="s">
        <v>1</v>
      </c>
      <c r="D1" t="s">
        <v>2</v>
      </c>
      <c r="F1" t="s">
        <v>3</v>
      </c>
      <c r="K1" t="s">
        <v>14</v>
      </c>
    </row>
    <row r="2" spans="1:11">
      <c r="A2">
        <v>1</v>
      </c>
      <c r="B2">
        <v>496</v>
      </c>
      <c r="C2">
        <f>B2/13.10185</f>
        <v>37.857249167102353</v>
      </c>
      <c r="D2">
        <v>54</v>
      </c>
      <c r="E2">
        <f>D2/13.10185</f>
        <v>4.121555352870014</v>
      </c>
      <c r="F2">
        <v>71</v>
      </c>
      <c r="G2">
        <f>F2/13.10185</f>
        <v>5.4190820380327969</v>
      </c>
      <c r="I2" t="s">
        <v>5</v>
      </c>
      <c r="K2">
        <f>((C2*C2)/(8*E2))+(E2/2)</f>
        <v>45.526508201626598</v>
      </c>
    </row>
    <row r="3" spans="1:11">
      <c r="A3">
        <v>2</v>
      </c>
      <c r="B3">
        <v>475</v>
      </c>
      <c r="C3">
        <f t="shared" ref="C3:C15" si="0">B3/13.10185</f>
        <v>36.254422085430683</v>
      </c>
      <c r="D3">
        <v>23</v>
      </c>
      <c r="E3">
        <f t="shared" ref="E3:E15" si="1">D3/13.10185</f>
        <v>1.7554772799261171</v>
      </c>
      <c r="F3">
        <v>3</v>
      </c>
      <c r="G3">
        <f t="shared" ref="G3:G16" si="2">F3/13.10185</f>
        <v>0.22897529738166747</v>
      </c>
      <c r="I3" t="s">
        <v>5</v>
      </c>
      <c r="K3">
        <f t="shared" ref="K3:K15" si="3">((C3*C3)/(8*E3))+(E3/2)</f>
        <v>94.469317393112931</v>
      </c>
    </row>
    <row r="4" spans="1:11">
      <c r="A4">
        <v>3</v>
      </c>
      <c r="B4">
        <v>435</v>
      </c>
      <c r="C4">
        <f t="shared" si="0"/>
        <v>33.201418120341785</v>
      </c>
      <c r="D4">
        <v>80</v>
      </c>
      <c r="E4">
        <f t="shared" si="1"/>
        <v>6.1060079301777987</v>
      </c>
      <c r="F4">
        <v>103</v>
      </c>
      <c r="G4">
        <f t="shared" si="2"/>
        <v>7.8614852101039165</v>
      </c>
      <c r="I4" t="s">
        <v>5</v>
      </c>
      <c r="K4">
        <f t="shared" si="3"/>
        <v>25.619592843758706</v>
      </c>
    </row>
    <row r="5" spans="1:11">
      <c r="A5">
        <v>4</v>
      </c>
      <c r="B5">
        <v>435</v>
      </c>
      <c r="C5">
        <f t="shared" si="0"/>
        <v>33.201418120341785</v>
      </c>
      <c r="D5">
        <v>4</v>
      </c>
      <c r="E5">
        <f t="shared" si="1"/>
        <v>0.30530039650888996</v>
      </c>
      <c r="F5">
        <v>41</v>
      </c>
      <c r="G5">
        <f t="shared" si="2"/>
        <v>3.129329064216122</v>
      </c>
      <c r="I5" t="s">
        <v>6</v>
      </c>
      <c r="K5">
        <f t="shared" si="3"/>
        <v>451.48442777165059</v>
      </c>
    </row>
    <row r="6" spans="1:11">
      <c r="A6">
        <v>5</v>
      </c>
      <c r="B6">
        <v>348</v>
      </c>
      <c r="C6">
        <f t="shared" si="0"/>
        <v>26.561134496273425</v>
      </c>
      <c r="D6">
        <v>56</v>
      </c>
      <c r="E6">
        <f t="shared" si="1"/>
        <v>4.2742055511244592</v>
      </c>
      <c r="F6">
        <v>75</v>
      </c>
      <c r="G6">
        <f t="shared" si="2"/>
        <v>5.7243824345416865</v>
      </c>
      <c r="I6" t="s">
        <v>6</v>
      </c>
      <c r="K6">
        <f t="shared" si="3"/>
        <v>22.76941260748891</v>
      </c>
    </row>
    <row r="7" spans="1:11">
      <c r="A7">
        <v>6</v>
      </c>
      <c r="B7">
        <v>342</v>
      </c>
      <c r="C7">
        <f t="shared" si="0"/>
        <v>26.103183901510089</v>
      </c>
      <c r="D7">
        <v>0</v>
      </c>
      <c r="E7">
        <f t="shared" si="1"/>
        <v>0</v>
      </c>
      <c r="F7">
        <v>27</v>
      </c>
      <c r="G7">
        <f t="shared" si="2"/>
        <v>2.060777676435007</v>
      </c>
      <c r="H7" t="s">
        <v>4</v>
      </c>
      <c r="I7">
        <v>0</v>
      </c>
      <c r="K7" t="e">
        <f t="shared" si="3"/>
        <v>#DIV/0!</v>
      </c>
    </row>
    <row r="8" spans="1:11">
      <c r="A8">
        <v>7</v>
      </c>
      <c r="B8">
        <v>337</v>
      </c>
      <c r="C8">
        <f t="shared" si="0"/>
        <v>25.721558405873978</v>
      </c>
      <c r="D8">
        <v>13</v>
      </c>
      <c r="E8">
        <f t="shared" si="1"/>
        <v>0.99222628865389229</v>
      </c>
      <c r="F8">
        <v>35</v>
      </c>
      <c r="G8">
        <f t="shared" si="2"/>
        <v>2.6713784694527871</v>
      </c>
      <c r="I8" t="s">
        <v>6</v>
      </c>
      <c r="K8">
        <f t="shared" si="3"/>
        <v>83.843855286437815</v>
      </c>
    </row>
    <row r="9" spans="1:11">
      <c r="A9">
        <v>8</v>
      </c>
      <c r="B9">
        <v>337</v>
      </c>
      <c r="C9">
        <f t="shared" si="0"/>
        <v>25.721558405873978</v>
      </c>
      <c r="D9">
        <v>6</v>
      </c>
      <c r="E9">
        <f t="shared" si="1"/>
        <v>0.45795059476333494</v>
      </c>
      <c r="F9">
        <v>40</v>
      </c>
      <c r="G9">
        <f t="shared" si="2"/>
        <v>3.0530039650888994</v>
      </c>
      <c r="I9" t="s">
        <v>6</v>
      </c>
      <c r="K9">
        <f t="shared" si="3"/>
        <v>180.81574993862188</v>
      </c>
    </row>
    <row r="10" spans="1:11">
      <c r="A10">
        <v>9</v>
      </c>
      <c r="B10">
        <v>337</v>
      </c>
      <c r="C10">
        <f t="shared" si="0"/>
        <v>25.721558405873978</v>
      </c>
      <c r="D10">
        <v>24</v>
      </c>
      <c r="E10">
        <f t="shared" si="1"/>
        <v>1.8318023790533398</v>
      </c>
      <c r="F10">
        <v>41</v>
      </c>
      <c r="G10">
        <f t="shared" si="2"/>
        <v>3.129329064216122</v>
      </c>
      <c r="I10" t="s">
        <v>6</v>
      </c>
      <c r="K10">
        <f t="shared" si="3"/>
        <v>46.062594849836721</v>
      </c>
    </row>
    <row r="11" spans="1:11">
      <c r="A11">
        <v>10</v>
      </c>
      <c r="B11">
        <v>363</v>
      </c>
      <c r="C11">
        <f t="shared" si="0"/>
        <v>27.706010983181763</v>
      </c>
      <c r="D11">
        <v>16</v>
      </c>
      <c r="E11">
        <f t="shared" si="1"/>
        <v>1.2212015860355598</v>
      </c>
      <c r="F11">
        <v>89</v>
      </c>
      <c r="G11">
        <f t="shared" si="2"/>
        <v>6.7929338223228015</v>
      </c>
      <c r="I11" t="s">
        <v>5</v>
      </c>
      <c r="K11">
        <f t="shared" si="3"/>
        <v>79.183116315634805</v>
      </c>
    </row>
    <row r="12" spans="1:11">
      <c r="A12">
        <v>11</v>
      </c>
      <c r="B12">
        <v>363</v>
      </c>
      <c r="C12">
        <f t="shared" si="0"/>
        <v>27.706010983181763</v>
      </c>
      <c r="D12">
        <v>35</v>
      </c>
      <c r="E12">
        <f t="shared" si="1"/>
        <v>2.6713784694527871</v>
      </c>
      <c r="F12">
        <v>5</v>
      </c>
      <c r="G12">
        <f t="shared" si="2"/>
        <v>0.38162549563611242</v>
      </c>
      <c r="I12" t="s">
        <v>6</v>
      </c>
      <c r="K12">
        <f t="shared" si="3"/>
        <v>37.254553473637039</v>
      </c>
    </row>
    <row r="13" spans="1:11">
      <c r="A13">
        <v>12</v>
      </c>
      <c r="B13">
        <v>336</v>
      </c>
      <c r="C13">
        <f t="shared" si="0"/>
        <v>25.645233306746757</v>
      </c>
      <c r="D13">
        <v>24</v>
      </c>
      <c r="E13">
        <f t="shared" si="1"/>
        <v>1.8318023790533398</v>
      </c>
      <c r="F13">
        <v>86</v>
      </c>
      <c r="G13">
        <f t="shared" si="2"/>
        <v>6.5639585249411336</v>
      </c>
      <c r="I13" t="s">
        <v>5</v>
      </c>
      <c r="K13">
        <f t="shared" si="3"/>
        <v>45.795059476333492</v>
      </c>
    </row>
    <row r="14" spans="1:11">
      <c r="A14">
        <v>13</v>
      </c>
      <c r="B14">
        <v>336</v>
      </c>
      <c r="C14">
        <f t="shared" si="0"/>
        <v>25.645233306746757</v>
      </c>
      <c r="D14">
        <v>25</v>
      </c>
      <c r="E14">
        <f t="shared" si="1"/>
        <v>1.9081274781805622</v>
      </c>
      <c r="F14">
        <v>65</v>
      </c>
      <c r="G14">
        <f t="shared" si="2"/>
        <v>4.961131443269462</v>
      </c>
      <c r="I14" t="s">
        <v>6</v>
      </c>
      <c r="K14">
        <f t="shared" si="3"/>
        <v>44.038055694424834</v>
      </c>
    </row>
    <row r="15" spans="1:11">
      <c r="A15">
        <v>14</v>
      </c>
      <c r="B15">
        <v>344</v>
      </c>
      <c r="C15">
        <f t="shared" si="0"/>
        <v>26.255834099764535</v>
      </c>
      <c r="D15">
        <v>39</v>
      </c>
      <c r="E15">
        <f t="shared" si="1"/>
        <v>2.9766788659616772</v>
      </c>
      <c r="F15">
        <v>337</v>
      </c>
      <c r="G15">
        <f t="shared" si="2"/>
        <v>25.721558405873978</v>
      </c>
      <c r="I15" t="s">
        <v>5</v>
      </c>
      <c r="K15">
        <f t="shared" si="3"/>
        <v>30.437079594259679</v>
      </c>
    </row>
    <row r="16" spans="1:11">
      <c r="F16">
        <v>582</v>
      </c>
      <c r="G16">
        <f t="shared" si="2"/>
        <v>44.421207692043488</v>
      </c>
      <c r="J16" t="s">
        <v>7</v>
      </c>
    </row>
    <row r="20" spans="1:1">
      <c r="A20" t="s">
        <v>11</v>
      </c>
    </row>
    <row r="21" spans="1:1">
      <c r="A21" t="s">
        <v>12</v>
      </c>
    </row>
    <row r="22" spans="1:1">
      <c r="A2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Patent</vt:lpstr>
      <vt:lpstr>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Dibyendu Majumdar</dc:creator>
  <cp:lastModifiedBy>Dibyendu Majumdar</cp:lastModifiedBy>
  <dcterms:created xsi:type="dcterms:W3CDTF">2025-05-16T10:40:23Z</dcterms:created>
  <dcterms:modified xsi:type="dcterms:W3CDTF">2026-01-07T18:38:07Z</dcterms:modified>
</cp:coreProperties>
</file>