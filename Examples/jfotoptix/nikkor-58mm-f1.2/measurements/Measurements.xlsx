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git\Beam43\Examples\jfotoptix\nikkor-58mm-f1.2\measurements\"/>
    </mc:Choice>
  </mc:AlternateContent>
  <xr:revisionPtr revIDLastSave="0" documentId="13_ncr:1_{01994ED8-5805-4A0B-BEB1-300393E68F1D}" xr6:coauthVersionLast="47" xr6:coauthVersionMax="47" xr10:uidLastSave="{00000000-0000-0000-0000-000000000000}"/>
  <bookViews>
    <workbookView xWindow="-110" yWindow="-110" windowWidth="38620" windowHeight="21100" xr2:uid="{ABF24105-874C-47CD-8B9D-7C91993D25C2}"/>
  </bookViews>
  <sheets>
    <sheet name="Noct Tale" sheetId="3" r:id="rId1"/>
    <sheet name="Tale Specs" sheetId="4" r:id="rId2"/>
    <sheet name="Service Manual" sheetId="1" r:id="rId3"/>
    <sheet name="Service Manual Spec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G22" i="3"/>
  <c r="G23" i="3"/>
  <c r="G24" i="3"/>
  <c r="H24" i="3" s="1"/>
  <c r="G25" i="3"/>
  <c r="G26" i="3"/>
  <c r="G27" i="3"/>
  <c r="G28" i="3"/>
  <c r="G29" i="3"/>
  <c r="G30" i="3"/>
  <c r="G31" i="3"/>
  <c r="G32" i="3"/>
  <c r="G33" i="3"/>
  <c r="G34" i="3"/>
  <c r="G35" i="3"/>
  <c r="G36" i="3"/>
  <c r="G21" i="3"/>
  <c r="E22" i="3"/>
  <c r="H22" i="3" s="1"/>
  <c r="E23" i="3"/>
  <c r="H23" i="3" s="1"/>
  <c r="E24" i="3"/>
  <c r="E25" i="3"/>
  <c r="H25" i="3" s="1"/>
  <c r="E26" i="3"/>
  <c r="E27" i="3"/>
  <c r="E28" i="3"/>
  <c r="E29" i="3"/>
  <c r="E30" i="3"/>
  <c r="E31" i="3"/>
  <c r="E32" i="3"/>
  <c r="E33" i="3"/>
  <c r="E34" i="3"/>
  <c r="E35" i="3"/>
  <c r="H35" i="3" s="1"/>
  <c r="E36" i="3"/>
  <c r="E21" i="3"/>
  <c r="E6" i="3"/>
  <c r="E7" i="3"/>
  <c r="E8" i="3"/>
  <c r="E9" i="3"/>
  <c r="E10" i="3"/>
  <c r="E11" i="3"/>
  <c r="E12" i="3"/>
  <c r="E14" i="3"/>
  <c r="E15" i="3"/>
  <c r="E4" i="3"/>
  <c r="H27" i="3"/>
  <c r="E17" i="3"/>
  <c r="F3" i="3"/>
  <c r="E17" i="1"/>
  <c r="H24" i="1"/>
  <c r="H25" i="1"/>
  <c r="H26" i="1"/>
  <c r="H27" i="1"/>
  <c r="H28" i="1"/>
  <c r="H29" i="1"/>
  <c r="H33" i="1"/>
  <c r="H34" i="1"/>
  <c r="H35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1" i="1"/>
  <c r="E22" i="1"/>
  <c r="H22" i="1" s="1"/>
  <c r="E23" i="1"/>
  <c r="H23" i="1" s="1"/>
  <c r="E24" i="1"/>
  <c r="E25" i="1"/>
  <c r="E26" i="1"/>
  <c r="E27" i="1"/>
  <c r="E28" i="1"/>
  <c r="E29" i="1"/>
  <c r="E30" i="1"/>
  <c r="H30" i="1" s="1"/>
  <c r="E31" i="1"/>
  <c r="H31" i="1" s="1"/>
  <c r="E32" i="1"/>
  <c r="H32" i="1" s="1"/>
  <c r="E33" i="1"/>
  <c r="E34" i="1"/>
  <c r="E35" i="1"/>
  <c r="E36" i="1"/>
  <c r="H36" i="1" s="1"/>
  <c r="E21" i="1"/>
  <c r="H21" i="1" s="1"/>
  <c r="E5" i="1"/>
  <c r="E6" i="1"/>
  <c r="E7" i="1"/>
  <c r="E8" i="1"/>
  <c r="E9" i="1"/>
  <c r="E10" i="1"/>
  <c r="F10" i="1" s="1"/>
  <c r="E11" i="1"/>
  <c r="E12" i="1"/>
  <c r="E13" i="1"/>
  <c r="E14" i="1"/>
  <c r="E15" i="1"/>
  <c r="E4" i="1"/>
  <c r="F3" i="1"/>
  <c r="H21" i="3" l="1"/>
  <c r="H26" i="3"/>
  <c r="H28" i="3"/>
  <c r="H32" i="3"/>
  <c r="H34" i="3"/>
  <c r="H33" i="3"/>
  <c r="H36" i="3"/>
  <c r="H29" i="3"/>
  <c r="H31" i="3"/>
  <c r="H30" i="3"/>
  <c r="F10" i="3"/>
</calcChain>
</file>

<file path=xl/sharedStrings.xml><?xml version="1.0" encoding="utf-8"?>
<sst xmlns="http://schemas.openxmlformats.org/spreadsheetml/2006/main" count="124" uniqueCount="67">
  <si>
    <t xml:space="preserve">Noct Nikkor </t>
  </si>
  <si>
    <t>First to last surface</t>
  </si>
  <si>
    <t>1 to 2</t>
  </si>
  <si>
    <t>2 to 3</t>
  </si>
  <si>
    <t>3 to 4</t>
  </si>
  <si>
    <t>4 to 5</t>
  </si>
  <si>
    <t>5 to 6</t>
  </si>
  <si>
    <t>6-Stop</t>
  </si>
  <si>
    <t>6 to 7</t>
  </si>
  <si>
    <t>7 to 8</t>
  </si>
  <si>
    <t>8 to 9</t>
  </si>
  <si>
    <t>9 to 10</t>
  </si>
  <si>
    <t>10 to 11</t>
  </si>
  <si>
    <t>11 to 12</t>
  </si>
  <si>
    <t>Heights</t>
  </si>
  <si>
    <t>13 surface</t>
  </si>
  <si>
    <t>cord length</t>
  </si>
  <si>
    <t>arc height</t>
  </si>
  <si>
    <t>12 surface</t>
  </si>
  <si>
    <t>11 surface</t>
  </si>
  <si>
    <t>10 surface</t>
  </si>
  <si>
    <t>9 surface</t>
  </si>
  <si>
    <t>Res</t>
  </si>
  <si>
    <t>8 surface</t>
  </si>
  <si>
    <t>in between</t>
  </si>
  <si>
    <t>7 surface</t>
  </si>
  <si>
    <t>6 surface</t>
  </si>
  <si>
    <t>5 surface</t>
  </si>
  <si>
    <t>4 surface</t>
  </si>
  <si>
    <t>3 surface</t>
  </si>
  <si>
    <t>2 surface</t>
  </si>
  <si>
    <t>1 surface</t>
  </si>
  <si>
    <t>[descriptive data]</t>
  </si>
  <si>
    <t>title</t>
  </si>
  <si>
    <t>Noct Nikkor</t>
  </si>
  <si>
    <t>[constants]</t>
  </si>
  <si>
    <t>[variable distances]</t>
  </si>
  <si>
    <t>Focal Length</t>
  </si>
  <si>
    <t>Angle of View</t>
  </si>
  <si>
    <t>F-Number</t>
  </si>
  <si>
    <t>Image Height</t>
  </si>
  <si>
    <t>Total Length</t>
  </si>
  <si>
    <t>Bf</t>
  </si>
  <si>
    <t>[lens data]</t>
  </si>
  <si>
    <t>TAFD5F</t>
  </si>
  <si>
    <t>LAC9</t>
  </si>
  <si>
    <t>S-NPH7</t>
  </si>
  <si>
    <t>AS</t>
  </si>
  <si>
    <t>BASF4</t>
  </si>
  <si>
    <t>S-BAH11</t>
  </si>
  <si>
    <t>S-LAL54</t>
  </si>
  <si>
    <t>SK51</t>
  </si>
  <si>
    <t>[aspherical data]</t>
  </si>
  <si>
    <t>[figure]</t>
  </si>
  <si>
    <t>[notes]</t>
  </si>
  <si>
    <t>Stop</t>
  </si>
  <si>
    <t>yy</t>
  </si>
  <si>
    <t>J-LASFH22</t>
  </si>
  <si>
    <t>LF5HT</t>
  </si>
  <si>
    <t>Q-LAK53S</t>
  </si>
  <si>
    <t>LAC7</t>
  </si>
  <si>
    <t>J-SK4</t>
  </si>
  <si>
    <t>apert</t>
  </si>
  <si>
    <t>these measurements were taken from the service manual diagram</t>
  </si>
  <si>
    <t>thickness</t>
  </si>
  <si>
    <t>radius</t>
  </si>
  <si>
    <t>These measurements were taken from the Noct Tale web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</si>
</sst>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ACB4-3E19-4739-8125-ABB53A5F513E}">
  <dimension ref="A1:L41"/>
  <sheetViews>
    <sheetView tabSelected="1" workbookViewId="0">
      <selection activeCell="A42" sqref="A42"/>
    </sheetView>
  </sheetViews>
  <sheetFormatPr defaultRowHeight="14"/>
  <sheetData>
    <row r="1" spans="1:12">
      <c r="A1" t="s">
        <v>0</v>
      </c>
    </row>
    <row r="2" spans="1:12">
      <c r="E2" t="s">
        <v>64</v>
      </c>
    </row>
    <row r="3" spans="1:12">
      <c r="A3" t="s">
        <v>1</v>
      </c>
      <c r="D3">
        <v>704</v>
      </c>
      <c r="F3">
        <f>D3/57.7</f>
        <v>12.20103986135182</v>
      </c>
      <c r="K3" t="s">
        <v>22</v>
      </c>
      <c r="L3">
        <v>11.811</v>
      </c>
    </row>
    <row r="4" spans="1:12">
      <c r="A4" t="s">
        <v>2</v>
      </c>
      <c r="D4">
        <v>84</v>
      </c>
      <c r="E4">
        <f>D4/12.20104</f>
        <v>6.8846590126743292</v>
      </c>
    </row>
    <row r="5" spans="1:12">
      <c r="A5" t="s">
        <v>3</v>
      </c>
      <c r="D5">
        <v>4</v>
      </c>
      <c r="E5">
        <v>0.1</v>
      </c>
    </row>
    <row r="6" spans="1:12">
      <c r="A6" t="s">
        <v>4</v>
      </c>
      <c r="D6">
        <v>119</v>
      </c>
      <c r="E6">
        <f t="shared" ref="E6:E15" si="0">D6/12.20104</f>
        <v>9.7532669346219656</v>
      </c>
    </row>
    <row r="7" spans="1:12">
      <c r="A7" t="s">
        <v>5</v>
      </c>
      <c r="D7">
        <v>19</v>
      </c>
      <c r="E7">
        <f t="shared" si="0"/>
        <v>1.55724430048586</v>
      </c>
    </row>
    <row r="8" spans="1:12">
      <c r="A8" t="s">
        <v>6</v>
      </c>
      <c r="D8">
        <v>35</v>
      </c>
      <c r="E8">
        <f t="shared" si="0"/>
        <v>2.8686079219476373</v>
      </c>
    </row>
    <row r="9" spans="1:12">
      <c r="A9" t="s">
        <v>7</v>
      </c>
      <c r="D9">
        <v>103</v>
      </c>
      <c r="E9">
        <f t="shared" si="0"/>
        <v>8.4419033131601893</v>
      </c>
    </row>
    <row r="10" spans="1:12">
      <c r="A10" t="s">
        <v>8</v>
      </c>
      <c r="D10">
        <v>97</v>
      </c>
      <c r="E10">
        <f t="shared" si="0"/>
        <v>7.9501419551120227</v>
      </c>
      <c r="F10">
        <f>E10-E9</f>
        <v>-0.49176135804816656</v>
      </c>
    </row>
    <row r="11" spans="1:12">
      <c r="A11" t="s">
        <v>9</v>
      </c>
      <c r="D11">
        <v>20</v>
      </c>
      <c r="E11">
        <f t="shared" si="0"/>
        <v>1.6392045268272213</v>
      </c>
    </row>
    <row r="12" spans="1:12">
      <c r="A12" t="s">
        <v>10</v>
      </c>
      <c r="D12">
        <v>100</v>
      </c>
      <c r="E12">
        <f t="shared" si="0"/>
        <v>8.1960226341361064</v>
      </c>
    </row>
    <row r="13" spans="1:12">
      <c r="A13" t="s">
        <v>11</v>
      </c>
      <c r="D13">
        <v>5</v>
      </c>
      <c r="E13">
        <v>0.15</v>
      </c>
    </row>
    <row r="14" spans="1:12">
      <c r="A14" t="s">
        <v>12</v>
      </c>
      <c r="D14">
        <v>75</v>
      </c>
      <c r="E14">
        <f t="shared" si="0"/>
        <v>6.1470169756020798</v>
      </c>
    </row>
    <row r="15" spans="1:12">
      <c r="A15" t="s">
        <v>13</v>
      </c>
      <c r="D15">
        <v>49</v>
      </c>
      <c r="E15">
        <f t="shared" si="0"/>
        <v>4.016051090726692</v>
      </c>
    </row>
    <row r="17" spans="1:10">
      <c r="A17" t="s">
        <v>55</v>
      </c>
      <c r="D17">
        <v>305</v>
      </c>
      <c r="E17">
        <f t="shared" ref="E17" si="1">D17/10.17331</f>
        <v>29.980409522564432</v>
      </c>
    </row>
    <row r="19" spans="1:10">
      <c r="A19" t="s">
        <v>14</v>
      </c>
    </row>
    <row r="20" spans="1:10">
      <c r="D20" t="s">
        <v>16</v>
      </c>
      <c r="F20" t="s">
        <v>17</v>
      </c>
      <c r="H20" t="s">
        <v>65</v>
      </c>
    </row>
    <row r="21" spans="1:10">
      <c r="A21" t="s">
        <v>15</v>
      </c>
      <c r="D21">
        <v>467</v>
      </c>
      <c r="E21">
        <f>D21/12.20104</f>
        <v>38.275425701415614</v>
      </c>
      <c r="F21">
        <v>24</v>
      </c>
      <c r="G21">
        <f>F21/12.20104</f>
        <v>1.9670454321926654</v>
      </c>
      <c r="H21">
        <f>(((E21*E21)/(8*G21))+(G21/2))</f>
        <v>94.080521687768695</v>
      </c>
    </row>
    <row r="22" spans="1:10">
      <c r="A22" t="s">
        <v>18</v>
      </c>
      <c r="D22">
        <v>467</v>
      </c>
      <c r="E22">
        <f t="shared" ref="E22:E36" si="2">D22/12.20104</f>
        <v>38.275425701415614</v>
      </c>
      <c r="F22">
        <v>10</v>
      </c>
      <c r="G22">
        <f t="shared" ref="G22:G36" si="3">F22/12.20104</f>
        <v>0.81960226341361064</v>
      </c>
      <c r="H22">
        <f t="shared" ref="H22:H36" si="4">(((E22*E22)/(8*G22))+(G22/2))</f>
        <v>223.84259866372045</v>
      </c>
    </row>
    <row r="23" spans="1:10">
      <c r="A23" t="s">
        <v>19</v>
      </c>
      <c r="D23">
        <v>482</v>
      </c>
      <c r="E23">
        <f t="shared" si="2"/>
        <v>39.504829096536028</v>
      </c>
      <c r="F23">
        <v>47</v>
      </c>
      <c r="G23">
        <f t="shared" si="3"/>
        <v>3.8521306380439699</v>
      </c>
      <c r="H23">
        <f t="shared" si="4"/>
        <v>52.567894107666568</v>
      </c>
    </row>
    <row r="24" spans="1:10">
      <c r="A24" t="s">
        <v>20</v>
      </c>
      <c r="D24">
        <v>482</v>
      </c>
      <c r="E24">
        <f t="shared" si="2"/>
        <v>39.504829096536028</v>
      </c>
      <c r="F24">
        <v>6</v>
      </c>
      <c r="G24">
        <f t="shared" si="3"/>
        <v>0.49176135804816634</v>
      </c>
      <c r="H24">
        <f t="shared" si="4"/>
        <v>396.94020619007335</v>
      </c>
    </row>
    <row r="25" spans="1:10">
      <c r="A25" t="s">
        <v>21</v>
      </c>
      <c r="D25">
        <v>490</v>
      </c>
      <c r="E25">
        <f t="shared" si="2"/>
        <v>40.160510907266918</v>
      </c>
      <c r="F25">
        <v>71</v>
      </c>
      <c r="G25">
        <f t="shared" si="3"/>
        <v>5.8191760702366349</v>
      </c>
      <c r="H25">
        <f t="shared" si="4"/>
        <v>37.55509920511971</v>
      </c>
    </row>
    <row r="26" spans="1:10">
      <c r="A26" t="s">
        <v>23</v>
      </c>
      <c r="D26">
        <v>489</v>
      </c>
      <c r="E26">
        <f t="shared" si="2"/>
        <v>40.078550680925559</v>
      </c>
      <c r="F26">
        <v>8</v>
      </c>
      <c r="G26">
        <f t="shared" si="3"/>
        <v>0.65568181073088849</v>
      </c>
      <c r="H26">
        <f t="shared" si="4"/>
        <v>306.55301720181228</v>
      </c>
      <c r="J26" t="s">
        <v>56</v>
      </c>
    </row>
    <row r="27" spans="1:10">
      <c r="A27" t="s">
        <v>24</v>
      </c>
      <c r="D27">
        <v>372</v>
      </c>
      <c r="E27">
        <f t="shared" si="2"/>
        <v>30.489204198986315</v>
      </c>
      <c r="G27">
        <f t="shared" si="3"/>
        <v>0</v>
      </c>
      <c r="H27" t="e">
        <f t="shared" si="4"/>
        <v>#DIV/0!</v>
      </c>
    </row>
    <row r="28" spans="1:10">
      <c r="A28" t="s">
        <v>25</v>
      </c>
      <c r="D28">
        <v>380</v>
      </c>
      <c r="E28">
        <f t="shared" si="2"/>
        <v>31.144886009717201</v>
      </c>
      <c r="F28">
        <v>74</v>
      </c>
      <c r="G28">
        <f t="shared" si="3"/>
        <v>6.0650567492607186</v>
      </c>
      <c r="H28">
        <f t="shared" si="4"/>
        <v>23.024178178165048</v>
      </c>
    </row>
    <row r="29" spans="1:10">
      <c r="A29" t="s">
        <v>26</v>
      </c>
      <c r="D29">
        <v>392</v>
      </c>
      <c r="E29">
        <f t="shared" si="2"/>
        <v>32.128408725813536</v>
      </c>
      <c r="F29">
        <v>83</v>
      </c>
      <c r="G29">
        <f t="shared" si="3"/>
        <v>6.802698786332968</v>
      </c>
      <c r="H29">
        <f t="shared" si="4"/>
        <v>22.368723219249176</v>
      </c>
    </row>
    <row r="30" spans="1:10">
      <c r="A30" t="s">
        <v>24</v>
      </c>
      <c r="D30">
        <v>429</v>
      </c>
      <c r="E30">
        <f t="shared" si="2"/>
        <v>35.160937100443896</v>
      </c>
      <c r="G30">
        <f t="shared" si="3"/>
        <v>0</v>
      </c>
      <c r="H30" t="e">
        <f t="shared" si="4"/>
        <v>#DIV/0!</v>
      </c>
    </row>
    <row r="31" spans="1:10">
      <c r="A31" t="s">
        <v>27</v>
      </c>
      <c r="D31">
        <v>498</v>
      </c>
      <c r="E31">
        <f t="shared" si="2"/>
        <v>40.816192717997808</v>
      </c>
      <c r="F31">
        <v>19</v>
      </c>
      <c r="G31">
        <f t="shared" si="3"/>
        <v>1.55724430048586</v>
      </c>
      <c r="H31">
        <f t="shared" si="4"/>
        <v>134.50535881841998</v>
      </c>
    </row>
    <row r="32" spans="1:10">
      <c r="A32" t="s">
        <v>28</v>
      </c>
      <c r="D32">
        <v>498</v>
      </c>
      <c r="E32">
        <f t="shared" si="2"/>
        <v>40.816192717997808</v>
      </c>
      <c r="F32">
        <v>37</v>
      </c>
      <c r="G32">
        <f t="shared" si="3"/>
        <v>3.0325283746303593</v>
      </c>
      <c r="H32">
        <f t="shared" si="4"/>
        <v>70.186750584487157</v>
      </c>
    </row>
    <row r="33" spans="1:8">
      <c r="A33" t="s">
        <v>24</v>
      </c>
      <c r="D33">
        <v>547</v>
      </c>
      <c r="E33">
        <f t="shared" si="2"/>
        <v>44.832243808724499</v>
      </c>
      <c r="G33">
        <f t="shared" si="3"/>
        <v>0</v>
      </c>
      <c r="H33" t="e">
        <f t="shared" si="4"/>
        <v>#DIV/0!</v>
      </c>
    </row>
    <row r="34" spans="1:8">
      <c r="A34" t="s">
        <v>29</v>
      </c>
      <c r="D34">
        <v>547</v>
      </c>
      <c r="E34">
        <f t="shared" si="2"/>
        <v>44.832243808724499</v>
      </c>
      <c r="F34">
        <v>104</v>
      </c>
      <c r="G34">
        <f t="shared" si="3"/>
        <v>8.5238635395015496</v>
      </c>
      <c r="H34">
        <f t="shared" si="4"/>
        <v>33.736976677650176</v>
      </c>
    </row>
    <row r="35" spans="1:8">
      <c r="A35" t="s">
        <v>30</v>
      </c>
      <c r="D35">
        <v>616</v>
      </c>
      <c r="E35">
        <f t="shared" si="2"/>
        <v>50.487499426278411</v>
      </c>
      <c r="G35">
        <f t="shared" si="3"/>
        <v>0</v>
      </c>
      <c r="H35" t="e">
        <f t="shared" si="4"/>
        <v>#DIV/0!</v>
      </c>
    </row>
    <row r="36" spans="1:8">
      <c r="A36" t="s">
        <v>31</v>
      </c>
      <c r="D36">
        <v>616</v>
      </c>
      <c r="E36">
        <f t="shared" si="2"/>
        <v>50.487499426278411</v>
      </c>
      <c r="F36">
        <v>50</v>
      </c>
      <c r="G36">
        <f t="shared" si="3"/>
        <v>4.0980113170680532</v>
      </c>
      <c r="H36">
        <f t="shared" si="4"/>
        <v>79.799754775002782</v>
      </c>
    </row>
    <row r="39" spans="1:8">
      <c r="C39" t="s">
        <v>62</v>
      </c>
      <c r="D39">
        <v>381</v>
      </c>
      <c r="E39">
        <f t="shared" ref="E39" si="5">D39/12.20104</f>
        <v>31.226846236058563</v>
      </c>
    </row>
    <row r="41" spans="1:8">
      <c r="A4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7BCF-FF72-4E29-88F1-D3D7DE84259C}">
  <dimension ref="A1:G29"/>
  <sheetViews>
    <sheetView workbookViewId="0">
      <selection activeCell="H35" sqref="H35"/>
    </sheetView>
  </sheetViews>
  <sheetFormatPr defaultRowHeight="14"/>
  <sheetData>
    <row r="1" spans="1:7">
      <c r="A1" t="s">
        <v>32</v>
      </c>
    </row>
    <row r="2" spans="1:7">
      <c r="A2" t="s">
        <v>33</v>
      </c>
      <c r="B2" t="s">
        <v>34</v>
      </c>
    </row>
    <row r="3" spans="1:7">
      <c r="A3" t="s">
        <v>35</v>
      </c>
    </row>
    <row r="4" spans="1:7">
      <c r="A4" t="s">
        <v>36</v>
      </c>
    </row>
    <row r="5" spans="1:7">
      <c r="A5" t="s">
        <v>37</v>
      </c>
      <c r="B5">
        <v>58</v>
      </c>
    </row>
    <row r="6" spans="1:7">
      <c r="A6" t="s">
        <v>38</v>
      </c>
      <c r="B6">
        <v>40.9</v>
      </c>
    </row>
    <row r="7" spans="1:7">
      <c r="A7" t="s">
        <v>39</v>
      </c>
      <c r="B7">
        <v>1.2</v>
      </c>
    </row>
    <row r="8" spans="1:7">
      <c r="A8" t="s">
        <v>40</v>
      </c>
      <c r="B8">
        <v>43.28</v>
      </c>
    </row>
    <row r="9" spans="1:7">
      <c r="A9" t="s">
        <v>41</v>
      </c>
      <c r="B9">
        <v>95.674000000000007</v>
      </c>
    </row>
    <row r="10" spans="1:7">
      <c r="A10" t="s">
        <v>42</v>
      </c>
      <c r="B10">
        <v>37.78</v>
      </c>
    </row>
    <row r="11" spans="1:7">
      <c r="A11" t="s">
        <v>43</v>
      </c>
    </row>
    <row r="12" spans="1:7">
      <c r="A12">
        <v>1</v>
      </c>
      <c r="B12">
        <v>79.997500000000002</v>
      </c>
      <c r="C12">
        <v>6.8849999999999998</v>
      </c>
      <c r="D12">
        <v>1.8485</v>
      </c>
      <c r="E12">
        <v>49.93</v>
      </c>
      <c r="F12">
        <v>43.8</v>
      </c>
      <c r="G12" t="s">
        <v>57</v>
      </c>
    </row>
    <row r="13" spans="1:7">
      <c r="A13">
        <v>2</v>
      </c>
      <c r="B13">
        <v>0</v>
      </c>
      <c r="C13">
        <v>0.1</v>
      </c>
      <c r="E13">
        <v>49.93</v>
      </c>
    </row>
    <row r="14" spans="1:7">
      <c r="A14">
        <v>3</v>
      </c>
      <c r="B14">
        <v>33.737000000000002</v>
      </c>
      <c r="C14">
        <v>9.75</v>
      </c>
      <c r="D14">
        <v>1.69</v>
      </c>
      <c r="E14">
        <v>44.527999999999999</v>
      </c>
      <c r="F14">
        <v>54.7</v>
      </c>
      <c r="G14" t="s">
        <v>45</v>
      </c>
    </row>
    <row r="15" spans="1:7">
      <c r="A15">
        <v>4</v>
      </c>
      <c r="B15">
        <v>70.186750000000004</v>
      </c>
      <c r="C15">
        <v>1.56</v>
      </c>
      <c r="E15">
        <v>44.527999999999999</v>
      </c>
    </row>
    <row r="16" spans="1:7">
      <c r="A16">
        <v>5</v>
      </c>
      <c r="B16">
        <v>134.505</v>
      </c>
      <c r="C16">
        <v>2.87</v>
      </c>
      <c r="D16">
        <v>1.7783</v>
      </c>
      <c r="E16">
        <v>42.168999999999997</v>
      </c>
      <c r="F16">
        <v>23.9</v>
      </c>
      <c r="G16" t="s">
        <v>46</v>
      </c>
    </row>
    <row r="17" spans="1:7">
      <c r="A17">
        <v>6</v>
      </c>
      <c r="B17">
        <v>22.3687</v>
      </c>
      <c r="C17">
        <v>8.44</v>
      </c>
      <c r="E17">
        <v>32.54</v>
      </c>
    </row>
    <row r="18" spans="1:7">
      <c r="A18">
        <v>7</v>
      </c>
      <c r="B18" t="s">
        <v>47</v>
      </c>
      <c r="C18">
        <v>7.95</v>
      </c>
      <c r="E18">
        <v>29.98</v>
      </c>
    </row>
    <row r="19" spans="1:7">
      <c r="A19">
        <v>8</v>
      </c>
      <c r="B19">
        <v>-23.024180000000001</v>
      </c>
      <c r="C19">
        <v>1.64</v>
      </c>
      <c r="D19">
        <v>1.58148</v>
      </c>
      <c r="E19">
        <v>31.45</v>
      </c>
      <c r="F19">
        <v>40.9</v>
      </c>
      <c r="G19" t="s">
        <v>58</v>
      </c>
    </row>
    <row r="20" spans="1:7">
      <c r="A20">
        <v>9</v>
      </c>
      <c r="B20">
        <v>306.553</v>
      </c>
      <c r="C20">
        <v>8.1959999999999997</v>
      </c>
      <c r="D20">
        <v>1.6934</v>
      </c>
      <c r="E20">
        <v>40.200000000000003</v>
      </c>
      <c r="F20">
        <v>53.3</v>
      </c>
      <c r="G20" t="s">
        <v>59</v>
      </c>
    </row>
    <row r="21" spans="1:7">
      <c r="A21">
        <v>10</v>
      </c>
      <c r="B21">
        <v>-37.555</v>
      </c>
      <c r="C21">
        <v>0.15</v>
      </c>
      <c r="E21">
        <v>40.200000000000003</v>
      </c>
    </row>
    <row r="22" spans="1:7">
      <c r="A22">
        <v>11</v>
      </c>
      <c r="B22">
        <v>-396.94</v>
      </c>
      <c r="C22">
        <v>6.1470000000000002</v>
      </c>
      <c r="D22">
        <v>1.6516</v>
      </c>
      <c r="E22">
        <v>39.130000000000003</v>
      </c>
      <c r="F22">
        <v>58.4</v>
      </c>
      <c r="G22" t="s">
        <v>60</v>
      </c>
    </row>
    <row r="23" spans="1:7">
      <c r="A23">
        <v>12</v>
      </c>
      <c r="B23">
        <v>-52.567889999999998</v>
      </c>
      <c r="C23">
        <v>0</v>
      </c>
      <c r="E23">
        <v>39.130000000000003</v>
      </c>
    </row>
    <row r="24" spans="1:7">
      <c r="A24">
        <v>13</v>
      </c>
      <c r="B24">
        <v>223.8426</v>
      </c>
      <c r="C24">
        <v>4.016</v>
      </c>
      <c r="D24">
        <v>1.6216999999999999</v>
      </c>
      <c r="E24">
        <v>36.86</v>
      </c>
      <c r="F24">
        <v>58.54</v>
      </c>
      <c r="G24" t="s">
        <v>61</v>
      </c>
    </row>
    <row r="25" spans="1:7">
      <c r="A25">
        <v>14</v>
      </c>
      <c r="B25">
        <v>-94.080520000000007</v>
      </c>
      <c r="C25">
        <v>37.78</v>
      </c>
      <c r="E25">
        <v>36.86</v>
      </c>
    </row>
    <row r="26" spans="1:7">
      <c r="A26" t="s">
        <v>52</v>
      </c>
    </row>
    <row r="27" spans="1:7">
      <c r="A27">
        <v>1</v>
      </c>
      <c r="B27">
        <v>74.227199999999996</v>
      </c>
      <c r="C27" s="1">
        <v>-1.6027260042865901E-4</v>
      </c>
      <c r="D27">
        <v>0</v>
      </c>
      <c r="E27">
        <v>0</v>
      </c>
      <c r="F27">
        <v>0</v>
      </c>
      <c r="G27">
        <v>0</v>
      </c>
    </row>
    <row r="28" spans="1:7">
      <c r="A28" t="s">
        <v>53</v>
      </c>
    </row>
    <row r="29" spans="1:7">
      <c r="A2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A71B-98DA-4F7F-8D5F-486B5BAE186D}">
  <dimension ref="A1:L39"/>
  <sheetViews>
    <sheetView workbookViewId="0">
      <selection activeCell="E4" sqref="E4"/>
    </sheetView>
  </sheetViews>
  <sheetFormatPr defaultRowHeight="14"/>
  <sheetData>
    <row r="1" spans="1:12">
      <c r="A1" t="s">
        <v>0</v>
      </c>
    </row>
    <row r="3" spans="1:12">
      <c r="A3" t="s">
        <v>1</v>
      </c>
      <c r="D3">
        <v>587</v>
      </c>
      <c r="E3" t="s">
        <v>64</v>
      </c>
      <c r="F3">
        <f>D3/57.7</f>
        <v>10.173310225303293</v>
      </c>
      <c r="K3" t="s">
        <v>22</v>
      </c>
      <c r="L3">
        <v>11.811</v>
      </c>
    </row>
    <row r="4" spans="1:12">
      <c r="A4" t="s">
        <v>2</v>
      </c>
      <c r="D4">
        <v>73</v>
      </c>
      <c r="E4">
        <f>D4/10.17331</f>
        <v>7.1756390004826347</v>
      </c>
    </row>
    <row r="5" spans="1:12">
      <c r="A5" t="s">
        <v>3</v>
      </c>
      <c r="D5">
        <v>4</v>
      </c>
      <c r="E5">
        <f t="shared" ref="E5:E17" si="0">D5/10.17331</f>
        <v>0.39318569865658276</v>
      </c>
    </row>
    <row r="6" spans="1:12">
      <c r="A6" t="s">
        <v>4</v>
      </c>
      <c r="D6">
        <v>98</v>
      </c>
      <c r="E6">
        <f t="shared" si="0"/>
        <v>9.6330496170862769</v>
      </c>
    </row>
    <row r="7" spans="1:12">
      <c r="A7" t="s">
        <v>5</v>
      </c>
      <c r="D7">
        <v>17</v>
      </c>
      <c r="E7">
        <f t="shared" si="0"/>
        <v>1.6710392192904766</v>
      </c>
    </row>
    <row r="8" spans="1:12">
      <c r="A8" t="s">
        <v>6</v>
      </c>
      <c r="D8">
        <v>36</v>
      </c>
      <c r="E8">
        <f t="shared" si="0"/>
        <v>3.5386712879092448</v>
      </c>
    </row>
    <row r="9" spans="1:12">
      <c r="A9" t="s">
        <v>7</v>
      </c>
      <c r="D9">
        <v>77</v>
      </c>
      <c r="E9">
        <f t="shared" si="0"/>
        <v>7.5688246991392178</v>
      </c>
    </row>
    <row r="10" spans="1:12">
      <c r="A10" t="s">
        <v>8</v>
      </c>
      <c r="D10">
        <v>157</v>
      </c>
      <c r="E10">
        <f t="shared" si="0"/>
        <v>15.432538672270873</v>
      </c>
      <c r="F10">
        <f>E10-E9</f>
        <v>7.863713973131655</v>
      </c>
    </row>
    <row r="11" spans="1:12">
      <c r="A11" t="s">
        <v>9</v>
      </c>
      <c r="D11">
        <v>19</v>
      </c>
      <c r="E11">
        <f t="shared" si="0"/>
        <v>1.867632068618768</v>
      </c>
    </row>
    <row r="12" spans="1:12">
      <c r="A12" t="s">
        <v>10</v>
      </c>
      <c r="D12">
        <v>80</v>
      </c>
      <c r="E12">
        <f t="shared" si="0"/>
        <v>7.863713973131655</v>
      </c>
    </row>
    <row r="13" spans="1:12">
      <c r="A13" t="s">
        <v>11</v>
      </c>
      <c r="D13">
        <v>5</v>
      </c>
      <c r="E13">
        <f t="shared" si="0"/>
        <v>0.49148212332072844</v>
      </c>
    </row>
    <row r="14" spans="1:12">
      <c r="A14" t="s">
        <v>12</v>
      </c>
      <c r="D14">
        <v>58</v>
      </c>
      <c r="E14">
        <f t="shared" si="0"/>
        <v>5.7011926305204499</v>
      </c>
    </row>
    <row r="15" spans="1:12">
      <c r="A15" t="s">
        <v>13</v>
      </c>
      <c r="D15">
        <v>42</v>
      </c>
      <c r="E15">
        <f t="shared" si="0"/>
        <v>4.1284498358941191</v>
      </c>
    </row>
    <row r="17" spans="1:8">
      <c r="A17" t="s">
        <v>55</v>
      </c>
      <c r="D17">
        <v>305</v>
      </c>
      <c r="E17">
        <f t="shared" si="0"/>
        <v>29.980409522564432</v>
      </c>
    </row>
    <row r="19" spans="1:8">
      <c r="A19" t="s">
        <v>14</v>
      </c>
    </row>
    <row r="20" spans="1:8">
      <c r="D20" t="s">
        <v>16</v>
      </c>
      <c r="F20" t="s">
        <v>17</v>
      </c>
      <c r="H20" t="s">
        <v>65</v>
      </c>
    </row>
    <row r="21" spans="1:8">
      <c r="A21" t="s">
        <v>15</v>
      </c>
      <c r="D21">
        <v>375</v>
      </c>
      <c r="E21">
        <f>D21/10.17331</f>
        <v>36.86115924905463</v>
      </c>
      <c r="F21">
        <v>18</v>
      </c>
      <c r="G21">
        <f>F21/10.17331</f>
        <v>1.7693356439546224</v>
      </c>
      <c r="H21">
        <f>(((E21*E21)/(8*G21))+(G21/2))</f>
        <v>96.877270033057073</v>
      </c>
    </row>
    <row r="22" spans="1:8">
      <c r="A22" t="s">
        <v>18</v>
      </c>
      <c r="D22">
        <v>375</v>
      </c>
      <c r="E22">
        <f t="shared" ref="E22:E36" si="1">D22/10.17331</f>
        <v>36.86115924905463</v>
      </c>
      <c r="F22">
        <v>14</v>
      </c>
      <c r="G22">
        <f t="shared" ref="G22:G36" si="2">F22/10.17331</f>
        <v>1.3761499452980395</v>
      </c>
      <c r="H22">
        <f t="shared" ref="H22:H36" si="3">(((E22*E22)/(8*G22))+(G22/2))</f>
        <v>124.10713495832302</v>
      </c>
    </row>
    <row r="23" spans="1:8">
      <c r="A23" t="s">
        <v>19</v>
      </c>
      <c r="D23">
        <v>398</v>
      </c>
      <c r="E23">
        <f t="shared" si="1"/>
        <v>39.121977016329986</v>
      </c>
      <c r="F23">
        <v>38</v>
      </c>
      <c r="G23">
        <f t="shared" si="2"/>
        <v>3.7352641372375359</v>
      </c>
      <c r="H23">
        <f t="shared" si="3"/>
        <v>53.086536188682373</v>
      </c>
    </row>
    <row r="24" spans="1:8">
      <c r="A24" t="s">
        <v>20</v>
      </c>
      <c r="D24">
        <v>398</v>
      </c>
      <c r="E24">
        <f t="shared" si="1"/>
        <v>39.121977016329986</v>
      </c>
      <c r="F24">
        <v>7.1</v>
      </c>
      <c r="G24">
        <f t="shared" si="2"/>
        <v>0.69790461511543433</v>
      </c>
      <c r="H24">
        <f t="shared" si="3"/>
        <v>274.47829830226436</v>
      </c>
    </row>
    <row r="25" spans="1:8">
      <c r="A25" t="s">
        <v>21</v>
      </c>
      <c r="D25">
        <v>409</v>
      </c>
      <c r="E25">
        <f t="shared" si="1"/>
        <v>40.203237687635585</v>
      </c>
      <c r="F25">
        <v>56</v>
      </c>
      <c r="G25">
        <f t="shared" si="2"/>
        <v>5.5045997811921579</v>
      </c>
      <c r="H25">
        <f t="shared" si="3"/>
        <v>39.455702154531245</v>
      </c>
    </row>
    <row r="26" spans="1:8">
      <c r="A26" t="s">
        <v>23</v>
      </c>
      <c r="D26">
        <v>409</v>
      </c>
      <c r="E26">
        <f t="shared" si="1"/>
        <v>40.203237687635585</v>
      </c>
      <c r="F26">
        <v>7</v>
      </c>
      <c r="G26">
        <f t="shared" si="2"/>
        <v>0.68807497264901973</v>
      </c>
      <c r="H26">
        <f t="shared" si="3"/>
        <v>293.97125559780585</v>
      </c>
    </row>
    <row r="27" spans="1:8">
      <c r="A27" t="s">
        <v>24</v>
      </c>
      <c r="D27">
        <v>372</v>
      </c>
      <c r="E27">
        <f t="shared" si="1"/>
        <v>36.566269975062191</v>
      </c>
      <c r="G27">
        <f t="shared" si="2"/>
        <v>0</v>
      </c>
      <c r="H27" t="e">
        <f t="shared" si="3"/>
        <v>#DIV/0!</v>
      </c>
    </row>
    <row r="28" spans="1:8">
      <c r="A28" t="s">
        <v>25</v>
      </c>
      <c r="D28">
        <v>320</v>
      </c>
      <c r="E28">
        <f t="shared" si="1"/>
        <v>31.45485589252662</v>
      </c>
      <c r="F28">
        <v>60</v>
      </c>
      <c r="G28">
        <f t="shared" si="2"/>
        <v>5.897785479848741</v>
      </c>
      <c r="H28">
        <f t="shared" si="3"/>
        <v>23.918796668275451</v>
      </c>
    </row>
    <row r="29" spans="1:8">
      <c r="A29" t="s">
        <v>26</v>
      </c>
      <c r="D29">
        <v>331</v>
      </c>
      <c r="E29">
        <f t="shared" si="1"/>
        <v>32.536116563832223</v>
      </c>
      <c r="F29">
        <v>60</v>
      </c>
      <c r="G29">
        <f t="shared" si="2"/>
        <v>5.897785479848741</v>
      </c>
      <c r="H29">
        <f t="shared" si="3"/>
        <v>25.385256453733678</v>
      </c>
    </row>
    <row r="30" spans="1:8">
      <c r="A30" t="s">
        <v>24</v>
      </c>
      <c r="D30">
        <v>429</v>
      </c>
      <c r="E30">
        <f t="shared" si="1"/>
        <v>42.169166180918495</v>
      </c>
      <c r="G30">
        <f t="shared" si="2"/>
        <v>0</v>
      </c>
      <c r="H30" t="e">
        <f t="shared" si="3"/>
        <v>#DIV/0!</v>
      </c>
    </row>
    <row r="31" spans="1:8">
      <c r="A31" t="s">
        <v>27</v>
      </c>
      <c r="D31">
        <v>381</v>
      </c>
      <c r="E31">
        <f t="shared" si="1"/>
        <v>37.450937797039508</v>
      </c>
      <c r="F31">
        <v>13</v>
      </c>
      <c r="G31">
        <f t="shared" si="2"/>
        <v>1.2778535206338939</v>
      </c>
      <c r="H31">
        <f t="shared" si="3"/>
        <v>137.83899695908667</v>
      </c>
    </row>
    <row r="32" spans="1:8">
      <c r="A32" t="s">
        <v>28</v>
      </c>
      <c r="D32">
        <v>381</v>
      </c>
      <c r="E32">
        <f t="shared" si="1"/>
        <v>37.450937797039508</v>
      </c>
      <c r="F32">
        <v>30</v>
      </c>
      <c r="G32">
        <f t="shared" si="2"/>
        <v>2.9488927399243705</v>
      </c>
      <c r="H32">
        <f t="shared" si="3"/>
        <v>60.927810122762409</v>
      </c>
    </row>
    <row r="33" spans="1:8">
      <c r="A33" t="s">
        <v>24</v>
      </c>
      <c r="D33">
        <v>453</v>
      </c>
      <c r="E33">
        <f t="shared" si="1"/>
        <v>44.528280372857992</v>
      </c>
      <c r="G33">
        <f t="shared" si="2"/>
        <v>0</v>
      </c>
      <c r="H33" t="e">
        <f t="shared" si="3"/>
        <v>#DIV/0!</v>
      </c>
    </row>
    <row r="34" spans="1:8">
      <c r="A34" t="s">
        <v>29</v>
      </c>
      <c r="D34">
        <v>453</v>
      </c>
      <c r="E34">
        <f t="shared" si="1"/>
        <v>44.528280372857992</v>
      </c>
      <c r="F34">
        <v>87</v>
      </c>
      <c r="G34">
        <f t="shared" si="2"/>
        <v>8.5517889457806753</v>
      </c>
      <c r="H34">
        <f t="shared" si="3"/>
        <v>33.257663163845322</v>
      </c>
    </row>
    <row r="35" spans="1:8">
      <c r="A35" t="s">
        <v>30</v>
      </c>
      <c r="D35">
        <v>508</v>
      </c>
      <c r="E35">
        <f t="shared" si="1"/>
        <v>49.934583729386006</v>
      </c>
      <c r="G35">
        <f t="shared" si="2"/>
        <v>0</v>
      </c>
      <c r="H35" t="e">
        <f t="shared" si="3"/>
        <v>#DIV/0!</v>
      </c>
    </row>
    <row r="36" spans="1:8">
      <c r="A36" t="s">
        <v>31</v>
      </c>
      <c r="D36">
        <v>508</v>
      </c>
      <c r="E36">
        <f t="shared" si="1"/>
        <v>49.934583729386006</v>
      </c>
      <c r="F36">
        <v>44</v>
      </c>
      <c r="G36">
        <f t="shared" si="2"/>
        <v>4.3250426852224102</v>
      </c>
      <c r="H36">
        <f t="shared" si="3"/>
        <v>74.227204679338726</v>
      </c>
    </row>
    <row r="39" spans="1:8">
      <c r="A39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DA68-5E80-4795-93EC-A4D2B825A296}">
  <dimension ref="A1:G29"/>
  <sheetViews>
    <sheetView topLeftCell="A4" workbookViewId="0">
      <selection activeCell="B14" sqref="B14"/>
    </sheetView>
  </sheetViews>
  <sheetFormatPr defaultRowHeight="14"/>
  <sheetData>
    <row r="1" spans="1:7">
      <c r="A1" t="s">
        <v>32</v>
      </c>
    </row>
    <row r="2" spans="1:7">
      <c r="A2" t="s">
        <v>33</v>
      </c>
      <c r="B2" t="s">
        <v>34</v>
      </c>
    </row>
    <row r="3" spans="1:7">
      <c r="A3" t="s">
        <v>35</v>
      </c>
    </row>
    <row r="4" spans="1:7">
      <c r="A4" t="s">
        <v>36</v>
      </c>
    </row>
    <row r="5" spans="1:7">
      <c r="A5" t="s">
        <v>37</v>
      </c>
      <c r="B5">
        <v>58</v>
      </c>
    </row>
    <row r="6" spans="1:7">
      <c r="A6" t="s">
        <v>38</v>
      </c>
      <c r="B6">
        <v>40.9</v>
      </c>
    </row>
    <row r="7" spans="1:7">
      <c r="A7" t="s">
        <v>39</v>
      </c>
      <c r="B7">
        <v>1.29</v>
      </c>
    </row>
    <row r="8" spans="1:7">
      <c r="A8" t="s">
        <v>40</v>
      </c>
      <c r="B8">
        <v>43.28</v>
      </c>
    </row>
    <row r="9" spans="1:7">
      <c r="A9" t="s">
        <v>41</v>
      </c>
      <c r="B9">
        <v>95.287000000000006</v>
      </c>
    </row>
    <row r="10" spans="1:7">
      <c r="A10" t="s">
        <v>42</v>
      </c>
      <c r="B10">
        <v>37.78</v>
      </c>
    </row>
    <row r="11" spans="1:7">
      <c r="A11" t="s">
        <v>43</v>
      </c>
    </row>
    <row r="12" spans="1:7">
      <c r="A12">
        <v>1</v>
      </c>
      <c r="B12">
        <v>74.227199999999996</v>
      </c>
      <c r="C12">
        <v>7.1756390000000003</v>
      </c>
      <c r="D12">
        <v>1.8348</v>
      </c>
      <c r="E12">
        <v>50.45</v>
      </c>
      <c r="F12">
        <v>42.7</v>
      </c>
      <c r="G12" t="s">
        <v>44</v>
      </c>
    </row>
    <row r="13" spans="1:7">
      <c r="A13">
        <v>2</v>
      </c>
      <c r="B13">
        <v>0</v>
      </c>
      <c r="C13">
        <v>0.39318599999999998</v>
      </c>
      <c r="E13">
        <v>50.44</v>
      </c>
    </row>
    <row r="14" spans="1:7">
      <c r="A14">
        <v>3</v>
      </c>
      <c r="B14">
        <v>33.257660000000001</v>
      </c>
      <c r="C14">
        <v>9.6304999999999996</v>
      </c>
      <c r="D14">
        <v>1.69</v>
      </c>
      <c r="E14">
        <v>44.67</v>
      </c>
      <c r="F14">
        <v>54.7</v>
      </c>
      <c r="G14" t="s">
        <v>45</v>
      </c>
    </row>
    <row r="15" spans="1:7">
      <c r="A15">
        <v>4</v>
      </c>
      <c r="B15">
        <v>60.927810000000001</v>
      </c>
      <c r="C15">
        <v>1.6710389999999999</v>
      </c>
      <c r="E15">
        <v>44.67</v>
      </c>
    </row>
    <row r="16" spans="1:7">
      <c r="A16">
        <v>5</v>
      </c>
      <c r="B16">
        <v>137.839</v>
      </c>
      <c r="C16">
        <v>3.538761</v>
      </c>
      <c r="D16">
        <v>1.7783</v>
      </c>
      <c r="E16">
        <v>44</v>
      </c>
      <c r="F16">
        <v>23.9</v>
      </c>
      <c r="G16" t="s">
        <v>46</v>
      </c>
    </row>
    <row r="17" spans="1:7">
      <c r="A17">
        <v>6</v>
      </c>
      <c r="B17">
        <v>25.385259999999999</v>
      </c>
      <c r="C17">
        <v>7.5688250000000004</v>
      </c>
      <c r="E17">
        <v>32.47</v>
      </c>
    </row>
    <row r="18" spans="1:7">
      <c r="A18">
        <v>7</v>
      </c>
      <c r="B18" t="s">
        <v>47</v>
      </c>
      <c r="C18">
        <v>7.8637139999999999</v>
      </c>
      <c r="E18">
        <v>31.04</v>
      </c>
    </row>
    <row r="19" spans="1:7">
      <c r="A19">
        <v>8</v>
      </c>
      <c r="B19">
        <v>-23.918800000000001</v>
      </c>
      <c r="C19">
        <v>1.867632</v>
      </c>
      <c r="D19">
        <v>1.6513</v>
      </c>
      <c r="E19">
        <v>32.47</v>
      </c>
      <c r="F19">
        <v>38.22</v>
      </c>
      <c r="G19" t="s">
        <v>48</v>
      </c>
    </row>
    <row r="20" spans="1:7">
      <c r="A20">
        <v>9</v>
      </c>
      <c r="B20">
        <v>293.97129999999999</v>
      </c>
      <c r="C20">
        <v>7.8637139999999999</v>
      </c>
      <c r="D20">
        <v>1.667</v>
      </c>
      <c r="E20">
        <v>39.97</v>
      </c>
      <c r="F20">
        <v>48.32</v>
      </c>
      <c r="G20" t="s">
        <v>49</v>
      </c>
    </row>
    <row r="21" spans="1:7">
      <c r="A21">
        <v>10</v>
      </c>
      <c r="B21">
        <v>-39.455599999999997</v>
      </c>
      <c r="C21">
        <v>0.49148199999999997</v>
      </c>
      <c r="E21">
        <v>39.979999999999997</v>
      </c>
    </row>
    <row r="22" spans="1:7">
      <c r="A22">
        <v>11</v>
      </c>
      <c r="B22">
        <v>-274.47829999999999</v>
      </c>
      <c r="C22">
        <v>5.701193</v>
      </c>
      <c r="D22">
        <v>1.651</v>
      </c>
      <c r="E22">
        <v>39.19</v>
      </c>
      <c r="F22">
        <v>56.16</v>
      </c>
      <c r="G22" t="s">
        <v>50</v>
      </c>
    </row>
    <row r="23" spans="1:7">
      <c r="A23">
        <v>12</v>
      </c>
      <c r="B23">
        <v>-53.086539999999999</v>
      </c>
      <c r="C23">
        <v>0</v>
      </c>
      <c r="E23">
        <v>39.19</v>
      </c>
    </row>
    <row r="24" spans="1:7">
      <c r="A24">
        <v>13</v>
      </c>
      <c r="B24">
        <v>124.1071</v>
      </c>
      <c r="C24">
        <v>4.12845</v>
      </c>
      <c r="D24">
        <v>1.621</v>
      </c>
      <c r="E24">
        <v>37.25</v>
      </c>
      <c r="F24">
        <v>60.31</v>
      </c>
      <c r="G24" t="s">
        <v>51</v>
      </c>
    </row>
    <row r="25" spans="1:7">
      <c r="A25">
        <v>14</v>
      </c>
      <c r="B25">
        <v>-96.877269999999996</v>
      </c>
      <c r="C25">
        <v>37.78</v>
      </c>
      <c r="E25">
        <v>37.25</v>
      </c>
    </row>
    <row r="26" spans="1:7">
      <c r="A26" t="s">
        <v>52</v>
      </c>
    </row>
    <row r="27" spans="1:7">
      <c r="A27">
        <v>1</v>
      </c>
      <c r="B27">
        <v>70.001000000000005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53</v>
      </c>
    </row>
    <row r="29" spans="1:7">
      <c r="A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Noct Tale</vt:lpstr>
      <vt:lpstr>Tale Specs</vt:lpstr>
      <vt:lpstr>Service Manual</vt:lpstr>
      <vt:lpstr>Service Manual 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Dibyendu Majumdar</dc:creator>
  <cp:lastModifiedBy>Dibyendu Majumdar</cp:lastModifiedBy>
  <dcterms:created xsi:type="dcterms:W3CDTF">2025-05-16T10:40:23Z</dcterms:created>
  <dcterms:modified xsi:type="dcterms:W3CDTF">2026-01-07T18:29:53Z</dcterms:modified>
</cp:coreProperties>
</file>